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A\"/>
    </mc:Choice>
  </mc:AlternateContent>
  <bookViews>
    <workbookView xWindow="0" yWindow="0" windowWidth="19200" windowHeight="8130"/>
  </bookViews>
  <sheets>
    <sheet name="Amdani Kharcha Mool aur Bayaaj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0" i="2" l="1"/>
  <c r="I7" i="2" l="1"/>
  <c r="I8" i="2" s="1"/>
  <c r="J10" i="2" s="1"/>
  <c r="C12" i="2"/>
  <c r="C13" i="2" s="1"/>
  <c r="F7" i="2" l="1"/>
  <c r="F9" i="2" s="1"/>
  <c r="F10" i="2" s="1"/>
  <c r="F8" i="2" l="1"/>
</calcChain>
</file>

<file path=xl/sharedStrings.xml><?xml version="1.0" encoding="utf-8"?>
<sst xmlns="http://schemas.openxmlformats.org/spreadsheetml/2006/main" count="30" uniqueCount="28">
  <si>
    <t>Ghar ka rent - Bhada</t>
  </si>
  <si>
    <t>Grocery - Rashan</t>
  </si>
  <si>
    <t>Medicine - Dawai</t>
  </si>
  <si>
    <t>Education - Bacho ki padai</t>
  </si>
  <si>
    <t>Mobile</t>
  </si>
  <si>
    <t>Saving - Bachat</t>
  </si>
  <si>
    <t>Loan / Udhaar</t>
  </si>
  <si>
    <t>Interest Rate / Bayaaj</t>
  </si>
  <si>
    <t>Income / Ghar ki Amdani</t>
  </si>
  <si>
    <t>Gaon har mahina</t>
  </si>
  <si>
    <t>Term / Kitne mahine</t>
  </si>
  <si>
    <t>Har mahine</t>
  </si>
  <si>
    <t>Loan uthana risky hai. Apki amdani se app bayaaj tak bhi nahi chuka payenge</t>
  </si>
  <si>
    <t xml:space="preserve">Conclusion: </t>
  </si>
  <si>
    <t>Aap Loan le sakte hai</t>
  </si>
  <si>
    <t>Loan uthana risky hai. Apki amdani se app byaaj hi bhar payenge. Mool kaise chukayenge? Koi nayi amdani ya paise aana hai kya?</t>
  </si>
  <si>
    <t>Haan</t>
  </si>
  <si>
    <t>Na</t>
  </si>
  <si>
    <t>Mool wapis kar payenge</t>
  </si>
  <si>
    <t>Bayaaj pay kar paynge</t>
  </si>
  <si>
    <t>Bayaaj wapis nahi kar payenge</t>
  </si>
  <si>
    <t>Mool wapis nahi kar payenge</t>
  </si>
  <si>
    <t>Calculate - Interest &amp; Loan Repayment</t>
  </si>
  <si>
    <t>Calculate - Loan Eligibility</t>
  </si>
  <si>
    <t>Bayaaj</t>
  </si>
  <si>
    <t>Kul jama (total)</t>
  </si>
  <si>
    <t>Mool (Loan Eligibility)</t>
  </si>
  <si>
    <t>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</si>
</sst>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9" fontId="0" fillId="2" borderId="0" xfId="0" applyNumberFormat="1" applyFill="1"/>
    <xf numFmtId="0" fontId="0" fillId="0" borderId="0" xfId="0" applyFill="1"/>
    <xf numFmtId="1" fontId="0" fillId="0" borderId="0" xfId="0" applyNumberFormat="1" applyFill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15"/>
  <sheetViews>
    <sheetView tabSelected="1" workbookViewId="0">
      <selection activeCell="B1" sqref="B1"/>
    </sheetView>
  </sheetViews>
  <sheetFormatPr defaultRowHeight="14.5" x14ac:dyDescent="0.35"/>
  <cols>
    <col min="1" max="1" width="2.54296875" customWidth="1"/>
    <col min="2" max="2" width="24.54296875" customWidth="1"/>
    <col min="4" max="4" width="2.54296875" customWidth="1"/>
    <col min="5" max="5" width="27.36328125" customWidth="1"/>
    <col min="7" max="7" width="2.453125" customWidth="1"/>
    <col min="8" max="8" width="27.90625" customWidth="1"/>
    <col min="9" max="9" width="14.1796875" customWidth="1"/>
    <col min="12" max="12" width="2.54296875" customWidth="1"/>
    <col min="13" max="13" width="5.1796875" bestFit="1" customWidth="1"/>
  </cols>
  <sheetData>
    <row r="1" spans="2:14" x14ac:dyDescent="0.35">
      <c r="E1" t="s">
        <v>22</v>
      </c>
      <c r="H1" t="s">
        <v>23</v>
      </c>
    </row>
    <row r="2" spans="2:14" x14ac:dyDescent="0.35">
      <c r="B2" t="s">
        <v>8</v>
      </c>
      <c r="C2">
        <v>25000</v>
      </c>
      <c r="E2" t="s">
        <v>6</v>
      </c>
      <c r="F2" s="1">
        <v>10000</v>
      </c>
    </row>
    <row r="4" spans="2:14" x14ac:dyDescent="0.35">
      <c r="B4" t="s">
        <v>0</v>
      </c>
      <c r="C4">
        <v>8000</v>
      </c>
      <c r="E4" t="s">
        <v>7</v>
      </c>
      <c r="F4" s="4">
        <v>0.12</v>
      </c>
      <c r="H4" t="s">
        <v>7</v>
      </c>
      <c r="I4" s="4">
        <v>0.12</v>
      </c>
    </row>
    <row r="5" spans="2:14" x14ac:dyDescent="0.35">
      <c r="B5" t="s">
        <v>1</v>
      </c>
      <c r="C5">
        <v>6000</v>
      </c>
      <c r="E5" t="s">
        <v>10</v>
      </c>
      <c r="F5" s="1">
        <v>36</v>
      </c>
      <c r="H5" t="s">
        <v>10</v>
      </c>
      <c r="I5" s="1">
        <v>36</v>
      </c>
    </row>
    <row r="6" spans="2:14" x14ac:dyDescent="0.35">
      <c r="B6" t="s">
        <v>2</v>
      </c>
      <c r="C6">
        <v>2500</v>
      </c>
    </row>
    <row r="7" spans="2:14" x14ac:dyDescent="0.35">
      <c r="B7" t="s">
        <v>3</v>
      </c>
      <c r="C7">
        <v>5000</v>
      </c>
      <c r="E7" t="s">
        <v>19</v>
      </c>
      <c r="F7">
        <f>IF(F2*F4*F5/12&gt;C12*F5/12,C12*F5/12,F2*F4*F5/12)</f>
        <v>3600</v>
      </c>
      <c r="H7" t="s">
        <v>26</v>
      </c>
      <c r="I7" s="6">
        <f>I10/(1+1*I5*I4/12)</f>
        <v>3308.8235294117644</v>
      </c>
    </row>
    <row r="8" spans="2:14" x14ac:dyDescent="0.35">
      <c r="B8" t="s">
        <v>4</v>
      </c>
      <c r="C8">
        <v>1000</v>
      </c>
      <c r="E8" t="s">
        <v>20</v>
      </c>
      <c r="F8" s="3">
        <f>IF(F7&lt;F2*F4*F5/12,F2*F4*F5/12-F7,0)</f>
        <v>0</v>
      </c>
      <c r="H8" t="s">
        <v>24</v>
      </c>
      <c r="I8" s="7">
        <f>I7*I4*I5/12</f>
        <v>1191.1764705882351</v>
      </c>
    </row>
    <row r="9" spans="2:14" x14ac:dyDescent="0.35">
      <c r="B9" t="s">
        <v>9</v>
      </c>
      <c r="C9">
        <v>1000</v>
      </c>
      <c r="E9" t="s">
        <v>18</v>
      </c>
      <c r="F9">
        <f>IF(C12*F5/12&gt;F7,IF(C12*F5/12-F7&gt;F2,F2,C12*F5/12-F7),0)</f>
        <v>900</v>
      </c>
    </row>
    <row r="10" spans="2:14" x14ac:dyDescent="0.35">
      <c r="E10" t="s">
        <v>21</v>
      </c>
      <c r="F10" s="3">
        <f>F2-F9</f>
        <v>9100</v>
      </c>
      <c r="H10" t="s">
        <v>25</v>
      </c>
      <c r="I10" s="5">
        <f>C13*I5</f>
        <v>4500</v>
      </c>
      <c r="J10" s="7">
        <f>I10-I8-I7</f>
        <v>0</v>
      </c>
      <c r="K10" t="s">
        <v>27</v>
      </c>
    </row>
    <row r="12" spans="2:14" x14ac:dyDescent="0.35">
      <c r="B12" t="s">
        <v>5</v>
      </c>
      <c r="C12">
        <f>C2-SUM(C4:C9)</f>
        <v>1500</v>
      </c>
      <c r="E12" t="s">
        <v>13</v>
      </c>
    </row>
    <row r="13" spans="2:14" x14ac:dyDescent="0.35">
      <c r="B13" t="s">
        <v>11</v>
      </c>
      <c r="C13">
        <f>ROUND(C12/12,0)</f>
        <v>125</v>
      </c>
      <c r="D13" s="3"/>
      <c r="E13" t="s">
        <v>12</v>
      </c>
    </row>
    <row r="14" spans="2:14" x14ac:dyDescent="0.35">
      <c r="D14" s="1"/>
      <c r="E14" t="s">
        <v>15</v>
      </c>
      <c r="M14" t="s">
        <v>16</v>
      </c>
      <c r="N14" s="2"/>
    </row>
    <row r="15" spans="2:14" x14ac:dyDescent="0.35">
      <c r="D15" s="2"/>
      <c r="E15" t="s">
        <v>14</v>
      </c>
      <c r="M15" t="s">
        <v>17</v>
      </c>
      <c r="N1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Amdani Kharcha Mool aur Bayaaj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Dheeraj Arora1</dc:creator>
  <cp:lastModifiedBy>Dheeraj Arora1</cp:lastModifiedBy>
  <dcterms:created xsi:type="dcterms:W3CDTF">2026-05-07T09:06:03Z</dcterms:created>
  <dcterms:modified xsi:type="dcterms:W3CDTF">2026-05-13T20:15:53Z</dcterms:modified>
</cp:coreProperties>
</file>